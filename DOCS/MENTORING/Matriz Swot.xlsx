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postas ao formulário 1" sheetId="1" r:id="rId4"/>
    <sheet state="visible" name="Matriz SWOT" sheetId="2" r:id="rId5"/>
    <sheet state="visible" name="GUT" sheetId="3" r:id="rId6"/>
  </sheets>
  <definedNames/>
  <calcPr/>
  <extLst>
    <ext uri="GoogleSheetsCustomDataVersion2">
      <go:sheetsCustomData xmlns:go="http://customooxmlschemas.google.com/" r:id="rId7" roundtripDataChecksum="IPngx+YsxdmiNVM1MMYFC0EoLEUGW920z0Wx943fTO0="/>
    </ext>
  </extLst>
</workbook>
</file>

<file path=xl/sharedStrings.xml><?xml version="1.0" encoding="utf-8"?>
<sst xmlns="http://schemas.openxmlformats.org/spreadsheetml/2006/main" count="54" uniqueCount="52">
  <si>
    <t>Carimbo de data/hora</t>
  </si>
  <si>
    <t>Questão 1- Oportunidades. Queremos saber quais são as oportunidades que você enxerga no ambiente externo? Lembrando que o ambiente externo é composto pelo nosso mercado de atuação e pelos fatores relacionados as questões políticas, econômicas, sociais e tecnológicas.</t>
  </si>
  <si>
    <t>Questão 2- Ameaças. Queremos saber quais são as ameaças que você enxerga no ambiente externo?  Lembrando que o ambiente externo é composto pelo nosso mercado de atuação e pelos fatores relacionados as questões políticas, econômicas, sociais e tecnológicas.</t>
  </si>
  <si>
    <t>Questão 3- Pontos Fortes. Queremos saber quais são os pontos fortes da  Consultiza neste momento? Quais são os diferenciais que temos, competências que nos destacam?</t>
  </si>
  <si>
    <t>Questão 5-Pontos Fracos. Queremos saber quais são os pontos fracos da  Consultiza neste momento?  Quais são as deficiências que temos, competências que precisamos desenvolver?</t>
  </si>
  <si>
    <t xml:space="preserve">1.Transformação Digital: adoção de ferramentas de automação, inteligência artificial e software de gestão contábil pode aumentar a eficiência e a precisão dos processos, nos proporcionando um diferencial competitivo.
2.Consultoria em Compliance e Regularizações: Oferecer serviços de consultoria fiscal e manter os clientes atualizados sobre novas regulamentações pode ser uma valiosa oportunidade de negócio.
3.Educação Financeira para Empreendedores: Materiais educativos e cursos gravados sobre gestão financeira para pequenas empresas e empreendedores pode ser uma forma eficaz de atrair e reter clientes, ao mesmo tempo em que contribui para o sucesso financeiro deles.
4. Especialização em Segmentos de Nicho: Focar em um nicho específico, como prestadores de erviços, profissionais liberais, organizações sem fins lucrativos, clínicas médicas entre outros, pode fornecer uma diferenciação significativa no mercado e facilitar a construção de uma confiança sólida.
5. Gestão Financeira Pessoal: Além de atender empresas, poderíamos ofertar serviços de gestão financeira pessoal para pessoas físicas pode ser uma área de crescimento potencial, especialmente em um contexto de incerteza econômica.
6. Parcerias Estratégicas: Estabelecer parcerias com outros profissionais do ecossistema financeiro, como consultores financeiros e advogados especializados em tributação, pode expandir o leque de serviços oferecidos e fornecer soluções abrangentes para os clientes.
7. Análise de dados: interpretar grandes conjuntos de dados pode criar oportunidades em consultoria estratégica e análise financeira.
</t>
  </si>
  <si>
    <t xml:space="preserve">1.Concorrência acirrada: muitos escritórios buscando os mesmos clientes. A entrada de novos concorrentes ou a consolidação de grandes empresas no setor pode aumentar a pressão competitiva.
2. Regulamentações e Conformidade: Mudanças nas leis e regulamentações fiscais e contábeis podem exigir adaptações rápidas e onerosas para mantermos a conformidade. Novas exigências podem surgir ou as existentes podem se tornar mais complexas.
3.Evolução Tecnológica: não acompanhar as tendências tecnológicas podem nos fazer perder eficiência e competitividade.
4.Riscos de ataques Cibernéticos: Ataques cibernéticos, como hackers e vírus podem causar danos significativos.
5. Flutuações Econômicas: Mudanças nas condições econômicas, como recessões, inflação ou flutuações cambiais, podem afetar a saúde financeira dos clientes e, por consequência, a demanda por nossos serviços.
6.Mudanças Políticas e Tributárias: Alterações nas políticas fiscais e regulamentações governamentais podem afetar a forma como os impostos são calculados e declarados.
7.Pandemias e Crises de Saúde Pública: Eventos como pandemias podem ter efeitos amplos na economia, nos negócios e nas finanças dos clientes, afetando diretamente a necessidade dos nossos serviços.
8.Desenvolvimento de Novos Modelos de Negócio: fintechs e softwares de contabilidade online, podem alterar a forma como os nossos serviços são entregues e consumidos.
</t>
  </si>
  <si>
    <t xml:space="preserve">1.Personalização dos Serviços: Adaptamos os serviços de acordo com as necessidades específicas de cada cliente. Sempre buscamos compreender profundamente o negócio do cliente e fornecer soluções personalizadas. 
2. Aconselhamento Estratégico: Além de simplesmente lidar com números oferecemos aconselhamento estratégico. Isso incluir planejamento tributário, análise de investimentos, gestão de fluxo de caixa e auxilio com a precificação.
3. Networking e Parcerias: temos uma rede de contatos e parcerias com advogados, consultores de negócios, instituições financeiras, empresas de marcas e patentes, que podem agregar valor ao cliente.
4. Treinamentos e capacitações: Oferecemos treinamentos e workshops sobre temas financeiros relevantes. Isso demonstra um compromisso com o desenvolvimento contínuo dos nossos clientes.
</t>
  </si>
  <si>
    <t xml:space="preserve">1.Dependência de Clientes Chave : dependemos muito de alguns clientes. Uma perda repentina desses clientes pode afetar significativamente a nossa receita.
2.Falta de Tecnologia : ainda precisamos adquirir e implantar alguns sistemas que facilitem a digitalização dos nossos serviços, e a falta destes torna nossa entrega demorada.
3.Atualização em tempo hábil em relação as atualizações fiscais: Qualquer falha nessa área pode resultar em ocasiões significativas para os clientes.
4.Falta de Marketing Efetivo : falta de investimento em marketing pode limitar o crescimento do nosso negócio.
Deficiências:
1.Comunicação Ineficaz com os clientes: falta de um manual de comunicação e resolução de conflitos com o clinets, entendemos que uma  falha nesse aspecto pode levar a mal-entendidos por parte dos clientes.
2.Gestão Ineficiente de Tempo : Ineficiências nesse aspecto podem levar a atrasos e erros.
Competências para Desenvolver:
1.Desenvolver habilidades de relacionamento e atendimento ao cliente pode ajudar a manter clientes existentes e atrair novos
2. Aprimorar habilidades de liderança, empatia, negociação e resolução de conflitos para lidar com situações complexas e relacionamentos com clientes.
3. Focar em treinamentos que melhorem a comunicação escrita e oral, especialmente ao explicar conceitos financeiros complexos para clientes.
</t>
  </si>
  <si>
    <t xml:space="preserve">• O quanto o ponto forte pode contribuir para melhorar a oportunidade ?
• O quanto o ponto forte pode contribuir para diminuir a ameaça ?
• O quanto o ponto fraco pode contribuir para diminuir a oportunidade ?
• O quanto o ponto fraco pode contribuir para piorar a ameaça ?
Pontue de 0 a 5
</t>
  </si>
  <si>
    <t>OPORTUNIDADES</t>
  </si>
  <si>
    <t>AMEAÇAS</t>
  </si>
  <si>
    <t>Reforma Tributária</t>
  </si>
  <si>
    <t>Aproximação com o cliente</t>
  </si>
  <si>
    <t>Leque de serviços</t>
  </si>
  <si>
    <t>Crescimento e Conhecimento</t>
  </si>
  <si>
    <t>Parceria com Sebrae</t>
  </si>
  <si>
    <t>Arbitramento de honorários</t>
  </si>
  <si>
    <t>Comunicação assertiva com o cliente</t>
  </si>
  <si>
    <t>Busca de conhecimento/atualização</t>
  </si>
  <si>
    <t>Avanços tecnologicos</t>
  </si>
  <si>
    <t>Situação financeira cliente</t>
  </si>
  <si>
    <t>Oportunidades: Capitalizar para desenvolver</t>
  </si>
  <si>
    <t>Ameaças: Eliminar para sobreviver</t>
  </si>
  <si>
    <t>Pontos Fortes: Monitorar para manter</t>
  </si>
  <si>
    <t>Pontos Fracos: Melhorar para crescer</t>
  </si>
  <si>
    <t>Total</t>
  </si>
  <si>
    <t>FORÇA</t>
  </si>
  <si>
    <t>União</t>
  </si>
  <si>
    <t>Relacionamento com o cliente</t>
  </si>
  <si>
    <t xml:space="preserve">Ética + Confiança										</t>
  </si>
  <si>
    <t xml:space="preserve">Compromentimento </t>
  </si>
  <si>
    <t>FRAQUEZA</t>
  </si>
  <si>
    <t>Retorno aos clientes</t>
  </si>
  <si>
    <t>Prazos</t>
  </si>
  <si>
    <t>Comunicação</t>
  </si>
  <si>
    <t>Marketing</t>
  </si>
  <si>
    <t>Padronização</t>
  </si>
  <si>
    <t xml:space="preserve">Total (PF x O - Pfrax O)= </t>
  </si>
  <si>
    <t>SITUAÇÕES</t>
  </si>
  <si>
    <t>G</t>
  </si>
  <si>
    <t>U</t>
  </si>
  <si>
    <t>T</t>
  </si>
  <si>
    <t>TOTAL</t>
  </si>
  <si>
    <t>PRAZOS</t>
  </si>
  <si>
    <t>RETORNO</t>
  </si>
  <si>
    <t>COMUNICAÇÃO</t>
  </si>
  <si>
    <t>1º - Urgente - Padronização e PrazosTransformar os saldos negativos em positivos. Não adianta vender se não consegue entregar.</t>
  </si>
  <si>
    <t>2º - FocoCrescimento e ConhecimentoAproveitar que aqui o saldo é +20 para treinar a equipe enquanto os processos são ajustados.</t>
  </si>
  <si>
    <t>3º - CuidadoReforma Tributária"Segurar o ímpeto". Não faça grandes promessas de prazos agressivos até que a casa esteja em ordem.</t>
  </si>
  <si>
    <t>Prazos, Retorno, Comunicação</t>
  </si>
  <si>
    <t>Você tem uma equipe sensacional (União e Comprometimento 5), mas ela está sobrecarregada ou desorganizada. Os números mostram que o time "corre muito", mas como falta padronização e comunicação, eles acabam "correndo em círculos" e não conseguem vencer as fraquezas.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</si>
</sst>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13">
    <font>
      <sz val="10.0"/>
      <color rgb="FF000000"/>
      <name val="Arial"/>
      <scheme val="minor"/>
    </font>
    <font>
      <sz val="10.0"/>
      <color theme="1"/>
      <name val="Arial"/>
    </font>
    <font>
      <b/>
      <sz val="10.0"/>
      <color rgb="FF000000"/>
      <name val="Arial"/>
    </font>
    <font>
      <b/>
      <sz val="11.0"/>
      <color theme="1"/>
      <name val="Arial"/>
    </font>
    <font/>
    <font>
      <sz val="14.0"/>
      <color theme="1"/>
      <name val="Arial"/>
    </font>
    <font>
      <sz val="10.0"/>
      <color rgb="FF000000"/>
      <name val="Arial"/>
    </font>
    <font>
      <b/>
      <sz val="11.0"/>
      <color rgb="FF93C47D"/>
      <name val="Arial"/>
    </font>
    <font>
      <b/>
      <sz val="11.0"/>
      <color rgb="FF38761D"/>
      <name val="Arial"/>
    </font>
    <font>
      <b/>
      <sz val="11.0"/>
      <color rgb="FF990000"/>
      <name val="Arial"/>
    </font>
    <font>
      <b/>
      <sz val="11.0"/>
      <color rgb="FFFF0000"/>
      <name val="Arial"/>
    </font>
    <font>
      <b/>
      <color theme="1"/>
      <name val="Arial"/>
      <scheme val="minor"/>
    </font>
    <font>
      <color theme="1"/>
      <name val="Arial"/>
      <scheme val="minor"/>
    </font>
  </fonts>
  <fills count="9">
    <fill>
      <patternFill patternType="none"/>
    </fill>
    <fill>
      <patternFill patternType="lightGray"/>
    </fill>
    <fill>
      <patternFill patternType="solid">
        <fgColor rgb="FFD8D8D8"/>
        <bgColor rgb="FFD8D8D8"/>
      </patternFill>
    </fill>
    <fill>
      <patternFill patternType="solid">
        <fgColor rgb="FFFEF1CC"/>
        <bgColor rgb="FFFEF1CC"/>
      </patternFill>
    </fill>
    <fill>
      <patternFill patternType="solid">
        <fgColor rgb="FFFAD9D6"/>
        <bgColor rgb="FFFAD9D6"/>
      </patternFill>
    </fill>
    <fill>
      <patternFill patternType="solid">
        <fgColor theme="0"/>
        <bgColor theme="0"/>
      </patternFill>
    </fill>
    <fill>
      <patternFill patternType="solid">
        <fgColor rgb="FF7F7F7F"/>
        <bgColor rgb="FF7F7F7F"/>
      </patternFill>
    </fill>
    <fill>
      <patternFill patternType="solid">
        <fgColor rgb="FFF2F2F2"/>
        <bgColor rgb="FFF2F2F2"/>
      </patternFill>
    </fill>
    <fill>
      <patternFill patternType="solid">
        <fgColor rgb="FFBFBFBF"/>
        <bgColor rgb="FFBFBFBF"/>
      </patternFill>
    </fill>
  </fills>
  <borders count="42">
    <border/>
    <border>
      <left style="thick">
        <color rgb="FF000000"/>
      </left>
      <top style="thick">
        <color rgb="FF000000"/>
      </top>
      <bottom style="thin">
        <color rgb="FF000000"/>
      </bottom>
    </border>
    <border>
      <top style="thick">
        <color rgb="FF000000"/>
      </top>
      <bottom style="thin">
        <color rgb="FF000000"/>
      </bottom>
    </border>
    <border>
      <right/>
      <top style="thick">
        <color rgb="FF000000"/>
      </top>
      <bottom style="thin">
        <color rgb="FF000000"/>
      </bottom>
    </border>
    <border>
      <left style="thick">
        <color rgb="FF000000"/>
      </left>
      <right style="thin">
        <color rgb="FF000000"/>
      </right>
      <top style="thin">
        <color rgb="FF000000"/>
      </top>
    </border>
    <border>
      <left style="thin">
        <color rgb="FF000000"/>
      </left>
      <right style="thin">
        <color rgb="FF000000"/>
      </right>
      <top style="thin">
        <color rgb="FF000000"/>
      </top>
    </border>
    <border>
      <left style="thick">
        <color rgb="FF000000"/>
      </left>
      <right style="thin">
        <color rgb="FF000000"/>
      </right>
    </border>
    <border>
      <left style="thin">
        <color rgb="FF000000"/>
      </left>
      <right style="thin">
        <color rgb="FF000000"/>
      </right>
    </border>
    <border>
      <right style="thick">
        <color rgb="FF000000"/>
      </right>
      <top style="thick">
        <color rgb="FF000000"/>
      </top>
      <bottom style="thin">
        <color rgb="FF000000"/>
      </bottom>
    </border>
    <border>
      <left style="thick">
        <color rgb="FF000000"/>
      </left>
      <right style="thin">
        <color rgb="FF000000"/>
      </right>
      <bottom style="thick">
        <color rgb="FF000000"/>
      </bottom>
    </border>
    <border>
      <left style="thin">
        <color rgb="FF000000"/>
      </left>
      <right style="thin">
        <color rgb="FF000000"/>
      </right>
      <bottom style="thick">
        <color rgb="FF000000"/>
      </bottom>
    </border>
    <border>
      <left style="thick">
        <color rgb="FF000000"/>
      </left>
      <right style="thick">
        <color rgb="FF000000"/>
      </right>
      <top style="thick">
        <color rgb="FF000000"/>
      </top>
      <bottom style="thin">
        <color rgb="FF000000"/>
      </bottom>
    </border>
    <border>
      <left style="thick">
        <color rgb="FF000000"/>
      </left>
      <right style="thin">
        <color rgb="FF000000"/>
      </right>
      <top style="thin">
        <color rgb="FF000000"/>
      </top>
      <bottom/>
    </border>
    <border>
      <left style="thin">
        <color rgb="FF000000"/>
      </left>
      <right style="thin">
        <color rgb="FF000000"/>
      </right>
      <top style="thin">
        <color rgb="FF000000"/>
      </top>
      <bottom/>
    </border>
    <border>
      <left style="thick">
        <color rgb="FF000000"/>
      </left>
      <right style="thick">
        <color rgb="FF000000"/>
      </right>
      <top style="thin">
        <color rgb="FF000000"/>
      </top>
      <bottom style="thin">
        <color rgb="FF000000"/>
      </bottom>
    </border>
    <border>
      <left style="thick">
        <color rgb="FF000000"/>
      </left>
      <top style="thin">
        <color rgb="FF000000"/>
      </top>
      <bottom style="thin">
        <color rgb="FF000000"/>
      </bottom>
    </border>
    <border>
      <top style="thin">
        <color rgb="FF000000"/>
      </top>
      <bottom style="thin">
        <color rgb="FF000000"/>
      </bottom>
    </border>
    <border>
      <right style="thick">
        <color rgb="FF000000"/>
      </right>
      <top style="thin">
        <color rgb="FF000000"/>
      </top>
      <bottom style="thin">
        <color rgb="FF000000"/>
      </bottom>
    </border>
    <border>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right style="thick">
        <color rgb="FF000000"/>
      </right>
      <top style="thin">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right/>
      <top style="thin">
        <color rgb="FF000000"/>
      </top>
      <bottom style="thin">
        <color rgb="FF000000"/>
      </bottom>
    </border>
    <border>
      <left/>
      <right style="thin">
        <color rgb="FF000000"/>
      </right>
      <top/>
      <bottom/>
    </border>
    <border>
      <left style="thin">
        <color rgb="FF000000"/>
      </left>
      <right style="thin">
        <color rgb="FF000000"/>
      </right>
      <top/>
      <bottom/>
    </border>
    <border>
      <left style="thick">
        <color rgb="FF000000"/>
      </left>
      <right style="thin">
        <color rgb="FF000000"/>
      </right>
      <top style="thick">
        <color rgb="FF000000"/>
      </top>
      <bottom style="thin">
        <color rgb="FF000000"/>
      </bottom>
    </border>
    <border>
      <left style="thin">
        <color rgb="FF000000"/>
      </left>
      <right style="thin">
        <color rgb="FF000000"/>
      </right>
      <top style="thick">
        <color rgb="FF000000"/>
      </top>
      <bottom style="thin">
        <color rgb="FF000000"/>
      </bottom>
    </border>
    <border>
      <left style="medium">
        <color rgb="FF000000"/>
      </left>
      <right style="thin">
        <color rgb="FF000000"/>
      </right>
      <top style="medium">
        <color rgb="FF000000"/>
      </top>
      <bottom style="thin">
        <color rgb="FF000000"/>
      </bottom>
    </border>
    <border>
      <left style="thick">
        <color rgb="FF000000"/>
      </left>
      <right style="thin">
        <color rgb="FF000000"/>
      </right>
      <top style="thin">
        <color rgb="FF000000"/>
      </top>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left style="thick">
        <color rgb="FF000000"/>
      </left>
      <bottom style="thin">
        <color rgb="FF000000"/>
      </bottom>
    </border>
    <border>
      <left/>
      <right style="thin">
        <color rgb="FF000000"/>
      </right>
      <top style="thick">
        <color rgb="FF000000"/>
      </top>
      <bottom style="thin">
        <color rgb="FF000000"/>
      </bottom>
    </border>
    <border>
      <left style="thick">
        <color rgb="FF000000"/>
      </left>
      <right style="thin">
        <color rgb="FF000000"/>
      </right>
      <top style="thick">
        <color rgb="FF000000"/>
      </top>
    </border>
    <border>
      <left style="thick">
        <color rgb="FF000000"/>
      </left>
      <top style="thin">
        <color rgb="FF000000"/>
      </top>
      <bottom style="thick">
        <color rgb="FF000000"/>
      </bottom>
    </border>
    <border>
      <top style="thin">
        <color rgb="FF000000"/>
      </top>
      <bottom style="thick">
        <color rgb="FF000000"/>
      </bottom>
    </border>
    <border>
      <right style="thick">
        <color rgb="FF000000"/>
      </right>
      <top style="thin">
        <color rgb="FF000000"/>
      </top>
      <bottom style="thick">
        <color rgb="FF000000"/>
      </bottom>
    </border>
    <border>
      <left/>
      <right style="thin">
        <color rgb="FF000000"/>
      </right>
      <top style="thin">
        <color rgb="FF000000"/>
      </top>
      <bottom style="thick">
        <color rgb="FF000000"/>
      </bottom>
    </border>
    <border>
      <left style="thin">
        <color rgb="FF000000"/>
      </left>
      <right style="thin">
        <color rgb="FF000000"/>
      </right>
      <top style="thin">
        <color rgb="FF000000"/>
      </top>
      <bottom style="thick">
        <color rgb="FF000000"/>
      </bottom>
    </border>
    <border>
      <left style="thick">
        <color rgb="FF000000"/>
      </left>
      <right style="thin">
        <color rgb="FF000000"/>
      </right>
      <bottom style="thin">
        <color rgb="FF000000"/>
      </bottom>
    </border>
  </borders>
  <cellStyleXfs count="1">
    <xf borderId="0" fillId="0" fontId="0" numFmtId="0" applyAlignment="1" applyFont="1"/>
  </cellStyleXfs>
  <cellXfs count="73">
    <xf borderId="0" fillId="0" fontId="0" numFmtId="0" xfId="0" applyAlignment="1" applyFont="1">
      <alignment readingOrder="0" shrinkToFit="0" vertical="bottom" wrapText="0"/>
    </xf>
    <xf borderId="0" fillId="0" fontId="1" numFmtId="0" xfId="0" applyFont="1"/>
    <xf borderId="0" fillId="0" fontId="1" numFmtId="164" xfId="0" applyFont="1" applyNumberFormat="1"/>
    <xf borderId="0" fillId="0" fontId="2" numFmtId="0" xfId="0" applyAlignment="1" applyFont="1">
      <alignment horizontal="center" shrinkToFit="0" wrapText="1"/>
    </xf>
    <xf borderId="1" fillId="2" fontId="3" numFmtId="0" xfId="0" applyAlignment="1" applyBorder="1" applyFill="1" applyFont="1">
      <alignment horizontal="center" readingOrder="0"/>
    </xf>
    <xf borderId="2" fillId="0" fontId="4" numFmtId="0" xfId="0" applyBorder="1" applyFont="1"/>
    <xf borderId="3" fillId="0" fontId="4" numFmtId="0" xfId="0" applyBorder="1" applyFont="1"/>
    <xf borderId="1" fillId="2" fontId="3" numFmtId="0" xfId="0" applyAlignment="1" applyBorder="1" applyFont="1">
      <alignment horizontal="center"/>
    </xf>
    <xf borderId="4" fillId="3" fontId="3" numFmtId="0" xfId="0" applyAlignment="1" applyBorder="1" applyFill="1" applyFont="1">
      <alignment horizontal="center" readingOrder="0" shrinkToFit="0" textRotation="90" wrapText="1"/>
    </xf>
    <xf borderId="5" fillId="3" fontId="3" numFmtId="0" xfId="0" applyAlignment="1" applyBorder="1" applyFont="1">
      <alignment horizontal="center" readingOrder="0" shrinkToFit="0" textRotation="90" wrapText="1"/>
    </xf>
    <xf borderId="4" fillId="4" fontId="3" numFmtId="0" xfId="0" applyAlignment="1" applyBorder="1" applyFill="1" applyFont="1">
      <alignment horizontal="center" readingOrder="0" shrinkToFit="0" textRotation="90" wrapText="1"/>
    </xf>
    <xf borderId="5" fillId="4" fontId="3" numFmtId="0" xfId="0" applyAlignment="1" applyBorder="1" applyFont="1">
      <alignment horizontal="center" readingOrder="0" shrinkToFit="0" textRotation="90" wrapText="1"/>
    </xf>
    <xf borderId="5" fillId="4" fontId="3" numFmtId="0" xfId="0" applyAlignment="1" applyBorder="1" applyFont="1">
      <alignment horizontal="center" shrinkToFit="0" textRotation="90" wrapText="1"/>
    </xf>
    <xf borderId="6" fillId="0" fontId="4" numFmtId="0" xfId="0" applyBorder="1" applyFont="1"/>
    <xf borderId="7" fillId="0" fontId="4" numFmtId="0" xfId="0" applyBorder="1" applyFont="1"/>
    <xf borderId="0" fillId="0" fontId="5" numFmtId="0" xfId="0" applyFont="1"/>
    <xf borderId="8" fillId="0" fontId="4" numFmtId="0" xfId="0" applyBorder="1" applyFont="1"/>
    <xf borderId="9" fillId="0" fontId="4" numFmtId="0" xfId="0" applyBorder="1" applyFont="1"/>
    <xf borderId="10" fillId="0" fontId="4" numFmtId="0" xfId="0" applyBorder="1" applyFont="1"/>
    <xf borderId="11" fillId="2" fontId="6" numFmtId="0" xfId="0" applyBorder="1" applyFont="1"/>
    <xf borderId="12" fillId="2" fontId="6" numFmtId="0" xfId="0" applyAlignment="1" applyBorder="1" applyFont="1">
      <alignment horizontal="center"/>
    </xf>
    <xf borderId="13" fillId="2" fontId="6" numFmtId="0" xfId="0" applyAlignment="1" applyBorder="1" applyFont="1">
      <alignment horizontal="center"/>
    </xf>
    <xf borderId="12" fillId="2" fontId="6" numFmtId="0" xfId="0" applyBorder="1" applyFont="1"/>
    <xf borderId="13" fillId="2" fontId="6" numFmtId="0" xfId="0" applyBorder="1" applyFont="1"/>
    <xf borderId="14" fillId="2" fontId="6" numFmtId="0" xfId="0" applyBorder="1" applyFont="1"/>
    <xf borderId="15" fillId="5" fontId="7" numFmtId="0" xfId="0" applyAlignment="1" applyBorder="1" applyFill="1" applyFont="1">
      <alignment horizontal="left" readingOrder="0" shrinkToFit="0" vertical="center" wrapText="1"/>
    </xf>
    <xf borderId="16" fillId="0" fontId="4" numFmtId="0" xfId="0" applyBorder="1" applyFont="1"/>
    <xf borderId="17" fillId="0" fontId="4" numFmtId="0" xfId="0" applyBorder="1" applyFont="1"/>
    <xf borderId="18" fillId="0" fontId="6" numFmtId="0" xfId="0" applyAlignment="1" applyBorder="1" applyFont="1">
      <alignment horizontal="center" readingOrder="0" vertical="center"/>
    </xf>
    <xf borderId="19" fillId="0" fontId="6" numFmtId="0" xfId="0" applyAlignment="1" applyBorder="1" applyFont="1">
      <alignment horizontal="center" readingOrder="0" vertical="center"/>
    </xf>
    <xf borderId="18" fillId="0" fontId="6" numFmtId="0" xfId="0" applyAlignment="1" applyBorder="1" applyFont="1">
      <alignment horizontal="right" readingOrder="0" shrinkToFit="0" wrapText="1"/>
    </xf>
    <xf borderId="19" fillId="0" fontId="6" numFmtId="0" xfId="0" applyAlignment="1" applyBorder="1" applyFont="1">
      <alignment horizontal="right" readingOrder="0" shrinkToFit="0" wrapText="1"/>
    </xf>
    <xf borderId="19" fillId="0" fontId="6" numFmtId="0" xfId="0" applyAlignment="1" applyBorder="1" applyFont="1">
      <alignment horizontal="right" shrinkToFit="0" wrapText="1"/>
    </xf>
    <xf borderId="20" fillId="2" fontId="6" numFmtId="0" xfId="0" applyBorder="1" applyFont="1"/>
    <xf borderId="21" fillId="0" fontId="6" numFmtId="0" xfId="0" applyAlignment="1" applyBorder="1" applyFont="1">
      <alignment horizontal="center" readingOrder="0" vertical="center"/>
    </xf>
    <xf borderId="22" fillId="0" fontId="6" numFmtId="0" xfId="0" applyAlignment="1" applyBorder="1" applyFont="1">
      <alignment horizontal="center" readingOrder="0" vertical="center"/>
    </xf>
    <xf borderId="23" fillId="0" fontId="6" numFmtId="0" xfId="0" applyAlignment="1" applyBorder="1" applyFont="1">
      <alignment horizontal="right" readingOrder="0" shrinkToFit="0" wrapText="1"/>
    </xf>
    <xf borderId="22" fillId="0" fontId="6" numFmtId="0" xfId="0" applyAlignment="1" applyBorder="1" applyFont="1">
      <alignment horizontal="right" readingOrder="0" shrinkToFit="0" wrapText="1"/>
    </xf>
    <xf borderId="22" fillId="0" fontId="6" numFmtId="0" xfId="0" applyAlignment="1" applyBorder="1" applyFont="1">
      <alignment horizontal="right" shrinkToFit="0" wrapText="1"/>
    </xf>
    <xf borderId="15" fillId="5" fontId="3" numFmtId="0" xfId="0" applyAlignment="1" applyBorder="1" applyFont="1">
      <alignment horizontal="left" readingOrder="0" shrinkToFit="0" vertical="center" wrapText="1"/>
    </xf>
    <xf borderId="15" fillId="5" fontId="8" numFmtId="0" xfId="0" applyAlignment="1" applyBorder="1" applyFont="1">
      <alignment horizontal="left" readingOrder="0" shrinkToFit="0" vertical="center" wrapText="1"/>
    </xf>
    <xf borderId="24" fillId="0" fontId="4" numFmtId="0" xfId="0" applyBorder="1" applyFont="1"/>
    <xf borderId="25" fillId="2" fontId="6" numFmtId="0" xfId="0" applyAlignment="1" applyBorder="1" applyFont="1">
      <alignment horizontal="center"/>
    </xf>
    <xf borderId="26" fillId="2" fontId="6" numFmtId="0" xfId="0" applyAlignment="1" applyBorder="1" applyFont="1">
      <alignment horizontal="center"/>
    </xf>
    <xf borderId="27" fillId="6" fontId="6" numFmtId="0" xfId="0" applyBorder="1" applyFill="1" applyFont="1"/>
    <xf borderId="28" fillId="6" fontId="6" numFmtId="0" xfId="0" applyBorder="1" applyFont="1"/>
    <xf borderId="29" fillId="6" fontId="6" numFmtId="0" xfId="0" applyBorder="1" applyFont="1"/>
    <xf borderId="19" fillId="6" fontId="6" numFmtId="0" xfId="0" applyBorder="1" applyFont="1"/>
    <xf borderId="15" fillId="5" fontId="9" numFmtId="0" xfId="0" applyAlignment="1" applyBorder="1" applyFont="1">
      <alignment readingOrder="0" shrinkToFit="0" vertical="center" wrapText="1"/>
    </xf>
    <xf borderId="30" fillId="0" fontId="6" numFmtId="0" xfId="0" applyAlignment="1" applyBorder="1" applyFont="1">
      <alignment horizontal="center" readingOrder="0" vertical="center"/>
    </xf>
    <xf borderId="22" fillId="0" fontId="6" numFmtId="0" xfId="0" applyAlignment="1" applyBorder="1" applyFont="1">
      <alignment horizontal="center" vertical="center"/>
    </xf>
    <xf borderId="14" fillId="2" fontId="6" numFmtId="0" xfId="0" applyAlignment="1" applyBorder="1" applyFont="1">
      <alignment horizontal="center" vertical="center"/>
    </xf>
    <xf borderId="15" fillId="5" fontId="9" numFmtId="0" xfId="0" applyAlignment="1" applyBorder="1" applyFont="1">
      <alignment horizontal="left" readingOrder="0" shrinkToFit="0" vertical="center" wrapText="1"/>
    </xf>
    <xf borderId="15" fillId="5" fontId="10" numFmtId="0" xfId="0" applyAlignment="1" applyBorder="1" applyFont="1">
      <alignment horizontal="left" readingOrder="0" shrinkToFit="0" vertical="center" wrapText="1"/>
    </xf>
    <xf borderId="31" fillId="0" fontId="6" numFmtId="0" xfId="0" applyAlignment="1" applyBorder="1" applyFont="1">
      <alignment horizontal="center" readingOrder="0" vertical="center"/>
    </xf>
    <xf borderId="32" fillId="0" fontId="6" numFmtId="0" xfId="0" applyAlignment="1" applyBorder="1" applyFont="1">
      <alignment horizontal="center" readingOrder="0" vertical="center"/>
    </xf>
    <xf borderId="32" fillId="0" fontId="6" numFmtId="0" xfId="0" applyAlignment="1" applyBorder="1" applyFont="1">
      <alignment horizontal="center" vertical="center"/>
    </xf>
    <xf borderId="33" fillId="2" fontId="6" numFmtId="0" xfId="0" applyAlignment="1" applyBorder="1" applyFont="1">
      <alignment horizontal="center" vertical="center"/>
    </xf>
    <xf borderId="34" fillId="7" fontId="6" numFmtId="0" xfId="0" applyAlignment="1" applyBorder="1" applyFill="1" applyFont="1">
      <alignment horizontal="center" vertical="center"/>
    </xf>
    <xf borderId="28" fillId="7" fontId="6" numFmtId="0" xfId="0" applyAlignment="1" applyBorder="1" applyFont="1">
      <alignment horizontal="center" vertical="center"/>
    </xf>
    <xf borderId="35" fillId="0" fontId="6" numFmtId="0" xfId="0" applyAlignment="1" applyBorder="1" applyFont="1">
      <alignment horizontal="center" vertical="center"/>
    </xf>
    <xf borderId="36" fillId="2" fontId="3" numFmtId="0" xfId="0" applyAlignment="1" applyBorder="1" applyFont="1">
      <alignment horizontal="center"/>
    </xf>
    <xf borderId="37" fillId="0" fontId="4" numFmtId="0" xfId="0" applyBorder="1" applyFont="1"/>
    <xf borderId="38" fillId="0" fontId="4" numFmtId="0" xfId="0" applyBorder="1" applyFont="1"/>
    <xf borderId="39" fillId="2" fontId="6" numFmtId="0" xfId="0" applyAlignment="1" applyBorder="1" applyFont="1">
      <alignment horizontal="center" vertical="center"/>
    </xf>
    <xf borderId="40" fillId="2" fontId="6" numFmtId="0" xfId="0" applyAlignment="1" applyBorder="1" applyFont="1">
      <alignment horizontal="center" vertical="center"/>
    </xf>
    <xf borderId="41" fillId="0" fontId="4" numFmtId="0" xfId="0" applyBorder="1" applyFont="1"/>
    <xf borderId="22" fillId="8" fontId="6" numFmtId="0" xfId="0" applyAlignment="1" applyBorder="1" applyFill="1" applyFont="1">
      <alignment horizontal="center"/>
    </xf>
    <xf borderId="22" fillId="0" fontId="6" numFmtId="0" xfId="0" applyAlignment="1" applyBorder="1" applyFont="1">
      <alignment horizontal="center" readingOrder="0"/>
    </xf>
    <xf borderId="22" fillId="0" fontId="6" numFmtId="0" xfId="0" applyAlignment="1" applyBorder="1" applyFont="1">
      <alignment horizontal="center"/>
    </xf>
    <xf borderId="0" fillId="0" fontId="6" numFmtId="0" xfId="0" applyAlignment="1" applyFont="1">
      <alignment horizontal="center"/>
    </xf>
    <xf borderId="0" fillId="0" fontId="11" numFmtId="0" xfId="0" applyAlignment="1" applyFont="1">
      <alignment readingOrder="0"/>
    </xf>
    <xf borderId="0" fillId="0" fontId="1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5" width="18.88"/>
  </cols>
  <sheetData>
    <row r="1" ht="15.75" customHeight="1">
      <c r="A1" s="1" t="s">
        <v>0</v>
      </c>
      <c r="B1" s="1" t="s">
        <v>1</v>
      </c>
      <c r="C1" s="1" t="s">
        <v>2</v>
      </c>
      <c r="D1" s="1" t="s">
        <v>3</v>
      </c>
      <c r="E1" s="1" t="s">
        <v>4</v>
      </c>
    </row>
    <row r="2" ht="15.75" customHeight="1">
      <c r="A2" s="2">
        <v>45204.48486146991</v>
      </c>
      <c r="B2" s="1" t="s">
        <v>5</v>
      </c>
      <c r="C2" s="1" t="s">
        <v>6</v>
      </c>
      <c r="D2" s="1" t="s">
        <v>7</v>
      </c>
      <c r="E2" s="1" t="s">
        <v>8</v>
      </c>
    </row>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87401575" footer="0.0" header="0.0" left="0.511811024" right="0.511811024" top="0.7874015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8.63"/>
    <col customWidth="1" min="4" max="4" width="18.13"/>
    <col customWidth="1" min="5" max="5" width="7.88"/>
    <col customWidth="1" min="6" max="6" width="8.88"/>
    <col customWidth="1" min="7" max="7" width="9.38"/>
    <col customWidth="1" min="8" max="9" width="8.0"/>
    <col customWidth="1" min="10" max="10" width="8.38"/>
    <col customWidth="1" min="11" max="11" width="8.63"/>
    <col customWidth="1" min="12" max="12" width="6.63"/>
    <col customWidth="1" min="13" max="13" width="8.63"/>
    <col customWidth="1" min="14" max="14" width="6.63"/>
    <col customWidth="1" min="15" max="15" width="7.63"/>
    <col customWidth="1" min="16" max="17" width="8.63"/>
    <col customWidth="1" min="18" max="18" width="41.38"/>
    <col customWidth="1" min="19" max="22" width="8.63"/>
  </cols>
  <sheetData>
    <row r="1" ht="12.75" customHeight="1">
      <c r="A1" s="3" t="s">
        <v>9</v>
      </c>
      <c r="E1" s="4" t="s">
        <v>10</v>
      </c>
      <c r="F1" s="5"/>
      <c r="G1" s="5"/>
      <c r="H1" s="5"/>
      <c r="I1" s="6"/>
      <c r="J1" s="7" t="s">
        <v>11</v>
      </c>
      <c r="K1" s="5"/>
      <c r="L1" s="5"/>
      <c r="M1" s="5"/>
      <c r="N1" s="5"/>
      <c r="O1" s="6"/>
    </row>
    <row r="2" ht="15.0" customHeight="1">
      <c r="E2" s="8" t="s">
        <v>12</v>
      </c>
      <c r="F2" s="9" t="s">
        <v>13</v>
      </c>
      <c r="G2" s="9" t="s">
        <v>14</v>
      </c>
      <c r="H2" s="9" t="s">
        <v>15</v>
      </c>
      <c r="I2" s="9" t="s">
        <v>16</v>
      </c>
      <c r="J2" s="10" t="s">
        <v>17</v>
      </c>
      <c r="K2" s="11" t="s">
        <v>18</v>
      </c>
      <c r="L2" s="11" t="s">
        <v>19</v>
      </c>
      <c r="M2" s="11" t="s">
        <v>20</v>
      </c>
      <c r="N2" s="11" t="s">
        <v>21</v>
      </c>
      <c r="O2" s="12"/>
    </row>
    <row r="3" ht="12.75" customHeight="1">
      <c r="E3" s="13"/>
      <c r="F3" s="14"/>
      <c r="G3" s="14"/>
      <c r="H3" s="14"/>
      <c r="I3" s="14"/>
      <c r="J3" s="13"/>
      <c r="K3" s="14"/>
      <c r="L3" s="14"/>
      <c r="M3" s="14"/>
      <c r="N3" s="14"/>
      <c r="O3" s="14"/>
      <c r="R3" s="15" t="s">
        <v>22</v>
      </c>
    </row>
    <row r="4" ht="12.75" customHeight="1">
      <c r="E4" s="13"/>
      <c r="F4" s="14"/>
      <c r="G4" s="14"/>
      <c r="H4" s="14"/>
      <c r="I4" s="14"/>
      <c r="J4" s="13"/>
      <c r="K4" s="14"/>
      <c r="L4" s="14"/>
      <c r="M4" s="14"/>
      <c r="N4" s="14"/>
      <c r="O4" s="14"/>
      <c r="R4" s="15" t="s">
        <v>23</v>
      </c>
    </row>
    <row r="5" ht="12.75" customHeight="1">
      <c r="E5" s="13"/>
      <c r="F5" s="14"/>
      <c r="G5" s="14"/>
      <c r="H5" s="14"/>
      <c r="I5" s="14"/>
      <c r="J5" s="13"/>
      <c r="K5" s="14"/>
      <c r="L5" s="14"/>
      <c r="M5" s="14"/>
      <c r="N5" s="14"/>
      <c r="O5" s="14"/>
      <c r="R5" s="15" t="s">
        <v>24</v>
      </c>
    </row>
    <row r="6" ht="12.75" customHeight="1">
      <c r="E6" s="13"/>
      <c r="F6" s="14"/>
      <c r="G6" s="14"/>
      <c r="H6" s="14"/>
      <c r="I6" s="14"/>
      <c r="J6" s="13"/>
      <c r="K6" s="14"/>
      <c r="L6" s="14"/>
      <c r="M6" s="14"/>
      <c r="N6" s="14"/>
      <c r="O6" s="14"/>
      <c r="R6" s="15" t="s">
        <v>25</v>
      </c>
    </row>
    <row r="7" ht="12.75" customHeight="1">
      <c r="E7" s="13"/>
      <c r="F7" s="14"/>
      <c r="G7" s="14"/>
      <c r="H7" s="14"/>
      <c r="I7" s="14"/>
      <c r="J7" s="13"/>
      <c r="K7" s="14"/>
      <c r="L7" s="14"/>
      <c r="M7" s="14"/>
      <c r="N7" s="14"/>
      <c r="O7" s="14"/>
    </row>
    <row r="8" ht="15.0" customHeight="1">
      <c r="E8" s="13"/>
      <c r="F8" s="14"/>
      <c r="G8" s="14"/>
      <c r="H8" s="14"/>
      <c r="I8" s="14"/>
      <c r="J8" s="13"/>
      <c r="K8" s="14"/>
      <c r="L8" s="14"/>
      <c r="M8" s="14"/>
      <c r="N8" s="14"/>
      <c r="O8" s="14"/>
    </row>
    <row r="9" ht="12.75" customHeight="1">
      <c r="E9" s="13"/>
      <c r="F9" s="14"/>
      <c r="G9" s="14"/>
      <c r="H9" s="14"/>
      <c r="I9" s="14"/>
      <c r="J9" s="13"/>
      <c r="K9" s="14"/>
      <c r="L9" s="14"/>
      <c r="M9" s="14"/>
      <c r="N9" s="14"/>
      <c r="O9" s="14"/>
    </row>
    <row r="10" ht="12.75" hidden="1" customHeight="1">
      <c r="A10" s="7"/>
      <c r="B10" s="5"/>
      <c r="C10" s="5"/>
      <c r="D10" s="16"/>
      <c r="E10" s="17"/>
      <c r="F10" s="18"/>
      <c r="G10" s="18"/>
      <c r="H10" s="18"/>
      <c r="I10" s="18"/>
      <c r="J10" s="17"/>
      <c r="K10" s="18"/>
      <c r="L10" s="18"/>
      <c r="M10" s="18"/>
      <c r="N10" s="18"/>
      <c r="O10" s="18"/>
      <c r="P10" s="19" t="s">
        <v>26</v>
      </c>
    </row>
    <row r="11" ht="12.75" customHeight="1">
      <c r="A11" s="4" t="s">
        <v>27</v>
      </c>
      <c r="B11" s="5"/>
      <c r="C11" s="5"/>
      <c r="D11" s="16"/>
      <c r="E11" s="20"/>
      <c r="F11" s="21"/>
      <c r="G11" s="21"/>
      <c r="H11" s="21"/>
      <c r="I11" s="21"/>
      <c r="J11" s="22"/>
      <c r="K11" s="23"/>
      <c r="L11" s="23"/>
      <c r="M11" s="23"/>
      <c r="N11" s="23"/>
      <c r="O11" s="23"/>
      <c r="P11" s="24"/>
    </row>
    <row r="12" ht="12.75" customHeight="1">
      <c r="A12" s="25" t="s">
        <v>28</v>
      </c>
      <c r="B12" s="26"/>
      <c r="C12" s="26"/>
      <c r="D12" s="27"/>
      <c r="E12" s="28">
        <v>5.0</v>
      </c>
      <c r="F12" s="29">
        <v>5.0</v>
      </c>
      <c r="G12" s="29">
        <v>5.0</v>
      </c>
      <c r="H12" s="29">
        <v>5.0</v>
      </c>
      <c r="I12" s="29">
        <v>3.0</v>
      </c>
      <c r="J12" s="30">
        <v>1.0</v>
      </c>
      <c r="K12" s="31">
        <v>5.0</v>
      </c>
      <c r="L12" s="31">
        <v>3.0</v>
      </c>
      <c r="M12" s="31">
        <v>5.0</v>
      </c>
      <c r="N12" s="31">
        <v>1.0</v>
      </c>
      <c r="O12" s="32"/>
      <c r="P12" s="33">
        <f t="shared" ref="P12:P15" si="1">SUM(E12:O12)</f>
        <v>38</v>
      </c>
    </row>
    <row r="13" ht="12.75" customHeight="1">
      <c r="A13" s="25" t="s">
        <v>29</v>
      </c>
      <c r="B13" s="26"/>
      <c r="C13" s="26"/>
      <c r="D13" s="27"/>
      <c r="E13" s="34">
        <v>5.0</v>
      </c>
      <c r="F13" s="35">
        <v>5.0</v>
      </c>
      <c r="G13" s="35">
        <v>5.0</v>
      </c>
      <c r="H13" s="35">
        <v>5.0</v>
      </c>
      <c r="I13" s="35">
        <v>5.0</v>
      </c>
      <c r="J13" s="36">
        <v>4.0</v>
      </c>
      <c r="K13" s="37">
        <v>5.0</v>
      </c>
      <c r="L13" s="37">
        <v>1.0</v>
      </c>
      <c r="M13" s="37">
        <v>1.0</v>
      </c>
      <c r="N13" s="37">
        <v>1.0</v>
      </c>
      <c r="O13" s="38"/>
      <c r="P13" s="33">
        <f t="shared" si="1"/>
        <v>37</v>
      </c>
    </row>
    <row r="14" ht="12.75" customHeight="1">
      <c r="A14" s="39" t="s">
        <v>30</v>
      </c>
      <c r="B14" s="26"/>
      <c r="C14" s="26"/>
      <c r="D14" s="27"/>
      <c r="E14" s="34">
        <v>3.0</v>
      </c>
      <c r="F14" s="35">
        <v>5.0</v>
      </c>
      <c r="G14" s="35">
        <v>5.0</v>
      </c>
      <c r="H14" s="35">
        <v>5.0</v>
      </c>
      <c r="I14" s="35">
        <v>5.0</v>
      </c>
      <c r="J14" s="36">
        <v>5.0</v>
      </c>
      <c r="K14" s="37">
        <v>5.0</v>
      </c>
      <c r="L14" s="37">
        <v>1.0</v>
      </c>
      <c r="M14" s="37">
        <v>1.0</v>
      </c>
      <c r="N14" s="37">
        <v>1.0</v>
      </c>
      <c r="O14" s="38"/>
      <c r="P14" s="33">
        <f t="shared" si="1"/>
        <v>36</v>
      </c>
    </row>
    <row r="15" ht="12.75" customHeight="1">
      <c r="A15" s="40" t="s">
        <v>31</v>
      </c>
      <c r="B15" s="26"/>
      <c r="C15" s="26"/>
      <c r="D15" s="27"/>
      <c r="E15" s="34">
        <v>5.0</v>
      </c>
      <c r="F15" s="35">
        <v>5.0</v>
      </c>
      <c r="G15" s="35">
        <v>5.0</v>
      </c>
      <c r="H15" s="35">
        <v>5.0</v>
      </c>
      <c r="I15" s="35">
        <v>5.0</v>
      </c>
      <c r="J15" s="36">
        <v>2.0</v>
      </c>
      <c r="K15" s="37">
        <v>5.0</v>
      </c>
      <c r="L15" s="37">
        <v>5.0</v>
      </c>
      <c r="M15" s="37">
        <v>5.0</v>
      </c>
      <c r="N15" s="37">
        <v>1.0</v>
      </c>
      <c r="O15" s="38"/>
      <c r="P15" s="33">
        <f t="shared" si="1"/>
        <v>43</v>
      </c>
    </row>
    <row r="16" ht="12.75" customHeight="1">
      <c r="A16" s="39"/>
      <c r="B16" s="26"/>
      <c r="C16" s="26"/>
      <c r="D16" s="41"/>
      <c r="E16" s="42">
        <f t="shared" ref="E16:O16" si="2">SUM(E12:E15)</f>
        <v>18</v>
      </c>
      <c r="F16" s="43">
        <f t="shared" si="2"/>
        <v>20</v>
      </c>
      <c r="G16" s="43">
        <f t="shared" si="2"/>
        <v>20</v>
      </c>
      <c r="H16" s="43">
        <f t="shared" si="2"/>
        <v>20</v>
      </c>
      <c r="I16" s="43">
        <f t="shared" si="2"/>
        <v>18</v>
      </c>
      <c r="J16" s="42">
        <f t="shared" si="2"/>
        <v>12</v>
      </c>
      <c r="K16" s="43">
        <f t="shared" si="2"/>
        <v>20</v>
      </c>
      <c r="L16" s="43">
        <f t="shared" si="2"/>
        <v>10</v>
      </c>
      <c r="M16" s="43">
        <f t="shared" si="2"/>
        <v>12</v>
      </c>
      <c r="N16" s="43">
        <f t="shared" si="2"/>
        <v>4</v>
      </c>
      <c r="O16" s="43">
        <f t="shared" si="2"/>
        <v>0</v>
      </c>
    </row>
    <row r="17" ht="12.75" customHeight="1">
      <c r="A17" s="4" t="s">
        <v>32</v>
      </c>
      <c r="B17" s="5"/>
      <c r="C17" s="5"/>
      <c r="D17" s="16"/>
      <c r="E17" s="44"/>
      <c r="F17" s="45"/>
      <c r="G17" s="45"/>
      <c r="H17" s="45"/>
      <c r="I17" s="45"/>
      <c r="J17" s="46"/>
      <c r="K17" s="47"/>
      <c r="L17" s="47"/>
      <c r="M17" s="47"/>
      <c r="N17" s="47"/>
      <c r="O17" s="47"/>
      <c r="P17" s="19" t="s">
        <v>26</v>
      </c>
    </row>
    <row r="18" ht="12.75" customHeight="1">
      <c r="A18" s="48" t="s">
        <v>33</v>
      </c>
      <c r="B18" s="26"/>
      <c r="C18" s="26"/>
      <c r="D18" s="41"/>
      <c r="E18" s="49">
        <v>5.0</v>
      </c>
      <c r="F18" s="35">
        <v>5.0</v>
      </c>
      <c r="G18" s="35">
        <v>5.0</v>
      </c>
      <c r="H18" s="35">
        <v>3.0</v>
      </c>
      <c r="I18" s="35">
        <v>3.0</v>
      </c>
      <c r="J18" s="34">
        <v>5.0</v>
      </c>
      <c r="K18" s="35">
        <v>5.0</v>
      </c>
      <c r="L18" s="35">
        <v>3.0</v>
      </c>
      <c r="M18" s="35">
        <v>1.0</v>
      </c>
      <c r="N18" s="35">
        <v>3.0</v>
      </c>
      <c r="O18" s="50"/>
      <c r="P18" s="51">
        <f t="shared" ref="P18:P21" si="3">SUM(E18:O18)</f>
        <v>38</v>
      </c>
    </row>
    <row r="19" ht="12.75" customHeight="1">
      <c r="A19" s="52" t="s">
        <v>34</v>
      </c>
      <c r="B19" s="26"/>
      <c r="C19" s="26"/>
      <c r="D19" s="27"/>
      <c r="E19" s="49">
        <v>5.0</v>
      </c>
      <c r="F19" s="35">
        <v>5.0</v>
      </c>
      <c r="G19" s="35">
        <v>5.0</v>
      </c>
      <c r="H19" s="35">
        <v>3.0</v>
      </c>
      <c r="I19" s="35">
        <v>4.0</v>
      </c>
      <c r="J19" s="34">
        <v>4.0</v>
      </c>
      <c r="K19" s="35">
        <v>3.0</v>
      </c>
      <c r="L19" s="35">
        <v>2.0</v>
      </c>
      <c r="M19" s="35">
        <v>1.0</v>
      </c>
      <c r="N19" s="35">
        <v>1.0</v>
      </c>
      <c r="O19" s="50"/>
      <c r="P19" s="51">
        <f t="shared" si="3"/>
        <v>33</v>
      </c>
    </row>
    <row r="20" ht="12.75" customHeight="1">
      <c r="A20" s="39" t="s">
        <v>35</v>
      </c>
      <c r="B20" s="26"/>
      <c r="C20" s="26"/>
      <c r="D20" s="27"/>
      <c r="E20" s="49">
        <v>5.0</v>
      </c>
      <c r="F20" s="35">
        <v>5.0</v>
      </c>
      <c r="G20" s="35">
        <v>5.0</v>
      </c>
      <c r="H20" s="35">
        <v>3.0</v>
      </c>
      <c r="I20" s="35">
        <v>5.0</v>
      </c>
      <c r="J20" s="34">
        <v>5.0</v>
      </c>
      <c r="K20" s="35">
        <v>5.0</v>
      </c>
      <c r="L20" s="35">
        <v>2.0</v>
      </c>
      <c r="M20" s="35">
        <v>5.0</v>
      </c>
      <c r="N20" s="35">
        <v>1.0</v>
      </c>
      <c r="O20" s="50"/>
      <c r="P20" s="51">
        <f t="shared" si="3"/>
        <v>41</v>
      </c>
    </row>
    <row r="21" ht="12.75" customHeight="1">
      <c r="A21" s="53" t="s">
        <v>36</v>
      </c>
      <c r="B21" s="26"/>
      <c r="C21" s="26"/>
      <c r="D21" s="27"/>
      <c r="E21" s="49">
        <v>4.0</v>
      </c>
      <c r="F21" s="35">
        <v>3.0</v>
      </c>
      <c r="G21" s="35">
        <v>5.0</v>
      </c>
      <c r="H21" s="35">
        <v>1.0</v>
      </c>
      <c r="I21" s="35">
        <v>5.0</v>
      </c>
      <c r="J21" s="34">
        <v>2.0</v>
      </c>
      <c r="K21" s="35">
        <v>3.0</v>
      </c>
      <c r="L21" s="35">
        <v>1.0</v>
      </c>
      <c r="M21" s="35">
        <v>1.0</v>
      </c>
      <c r="N21" s="35">
        <v>1.0</v>
      </c>
      <c r="O21" s="50"/>
      <c r="P21" s="51">
        <f t="shared" si="3"/>
        <v>26</v>
      </c>
    </row>
    <row r="22" ht="12.75" customHeight="1">
      <c r="A22" s="39" t="s">
        <v>37</v>
      </c>
      <c r="B22" s="26"/>
      <c r="C22" s="26"/>
      <c r="D22" s="27"/>
      <c r="E22" s="54">
        <v>5.0</v>
      </c>
      <c r="F22" s="55">
        <v>5.0</v>
      </c>
      <c r="G22" s="55">
        <v>3.0</v>
      </c>
      <c r="H22" s="55">
        <v>3.0</v>
      </c>
      <c r="I22" s="55">
        <v>3.0</v>
      </c>
      <c r="J22" s="54">
        <v>1.0</v>
      </c>
      <c r="K22" s="55">
        <v>5.0</v>
      </c>
      <c r="L22" s="55">
        <v>1.0</v>
      </c>
      <c r="M22" s="55">
        <v>1.0</v>
      </c>
      <c r="N22" s="55">
        <v>1.0</v>
      </c>
      <c r="O22" s="56"/>
      <c r="P22" s="57"/>
    </row>
    <row r="23" ht="12.75" customHeight="1">
      <c r="A23" s="7" t="s">
        <v>26</v>
      </c>
      <c r="B23" s="5"/>
      <c r="C23" s="5"/>
      <c r="D23" s="16"/>
      <c r="E23" s="58">
        <f t="shared" ref="E23:G23" si="4">SUM(E18:E22)</f>
        <v>24</v>
      </c>
      <c r="F23" s="59">
        <f t="shared" si="4"/>
        <v>23</v>
      </c>
      <c r="G23" s="59">
        <f t="shared" si="4"/>
        <v>23</v>
      </c>
      <c r="H23" s="59"/>
      <c r="I23" s="59">
        <f t="shared" ref="I23:N23" si="5">SUM(I18:I22)</f>
        <v>20</v>
      </c>
      <c r="J23" s="58">
        <f t="shared" si="5"/>
        <v>17</v>
      </c>
      <c r="K23" s="59">
        <f t="shared" si="5"/>
        <v>21</v>
      </c>
      <c r="L23" s="59">
        <f t="shared" si="5"/>
        <v>9</v>
      </c>
      <c r="M23" s="59">
        <f t="shared" si="5"/>
        <v>9</v>
      </c>
      <c r="N23" s="59">
        <f t="shared" si="5"/>
        <v>7</v>
      </c>
      <c r="O23" s="59">
        <f>SUM(O18:O21)</f>
        <v>0</v>
      </c>
      <c r="P23" s="60"/>
    </row>
    <row r="24" ht="12.75" customHeight="1">
      <c r="A24" s="61" t="s">
        <v>38</v>
      </c>
      <c r="B24" s="62"/>
      <c r="C24" s="62"/>
      <c r="D24" s="63"/>
      <c r="E24" s="64">
        <f t="shared" ref="E24:O24" si="6">E16-E23</f>
        <v>-6</v>
      </c>
      <c r="F24" s="65">
        <f t="shared" si="6"/>
        <v>-3</v>
      </c>
      <c r="G24" s="65">
        <f t="shared" si="6"/>
        <v>-3</v>
      </c>
      <c r="H24" s="65">
        <f t="shared" si="6"/>
        <v>20</v>
      </c>
      <c r="I24" s="65">
        <f t="shared" si="6"/>
        <v>-2</v>
      </c>
      <c r="J24" s="64">
        <f t="shared" si="6"/>
        <v>-5</v>
      </c>
      <c r="K24" s="65">
        <f t="shared" si="6"/>
        <v>-1</v>
      </c>
      <c r="L24" s="65">
        <f t="shared" si="6"/>
        <v>1</v>
      </c>
      <c r="M24" s="65">
        <f t="shared" si="6"/>
        <v>3</v>
      </c>
      <c r="N24" s="65">
        <f t="shared" si="6"/>
        <v>-3</v>
      </c>
      <c r="O24" s="65">
        <f t="shared" si="6"/>
        <v>0</v>
      </c>
      <c r="P24" s="66"/>
    </row>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sheetData>
  <mergeCells count="30">
    <mergeCell ref="I2:I10"/>
    <mergeCell ref="J2:J10"/>
    <mergeCell ref="K2:K10"/>
    <mergeCell ref="L2:L10"/>
    <mergeCell ref="M2:M10"/>
    <mergeCell ref="N2:N10"/>
    <mergeCell ref="P23:P24"/>
    <mergeCell ref="E1:I1"/>
    <mergeCell ref="J1:O1"/>
    <mergeCell ref="E2:E10"/>
    <mergeCell ref="F2:F10"/>
    <mergeCell ref="G2:G10"/>
    <mergeCell ref="H2:H10"/>
    <mergeCell ref="O2:O10"/>
    <mergeCell ref="A1:D9"/>
    <mergeCell ref="A10:D10"/>
    <mergeCell ref="A11:D11"/>
    <mergeCell ref="A12:D12"/>
    <mergeCell ref="A13:D13"/>
    <mergeCell ref="A14:D14"/>
    <mergeCell ref="A15:D15"/>
    <mergeCell ref="A23:D23"/>
    <mergeCell ref="A24:D24"/>
    <mergeCell ref="A16:D16"/>
    <mergeCell ref="A17:D17"/>
    <mergeCell ref="A18:D18"/>
    <mergeCell ref="A19:D19"/>
    <mergeCell ref="A20:D20"/>
    <mergeCell ref="A21:D21"/>
    <mergeCell ref="A22:D22"/>
  </mergeCells>
  <conditionalFormatting sqref="E24:I24">
    <cfRule type="colorScale" priority="1">
      <colorScale>
        <cfvo type="min"/>
        <cfvo type="percentile" val="50"/>
        <cfvo type="max"/>
        <color rgb="FFF8696B"/>
        <color rgb="FFFFEB84"/>
        <color rgb="FF63BE7B"/>
      </colorScale>
    </cfRule>
  </conditionalFormatting>
  <conditionalFormatting sqref="J24:O24">
    <cfRule type="colorScale" priority="2">
      <colorScale>
        <cfvo type="min"/>
        <cfvo type="percentile" val="50"/>
        <cfvo type="max"/>
        <color rgb="FFF8696B"/>
        <color rgb="FFFFEB84"/>
        <color rgb="FF63BE7B"/>
      </colorScale>
    </cfRule>
  </conditionalFormatting>
  <conditionalFormatting sqref="P12:P15">
    <cfRule type="colorScale" priority="3">
      <colorScale>
        <cfvo type="min"/>
        <cfvo type="percentile" val="50"/>
        <cfvo type="max"/>
        <color rgb="FFF8696B"/>
        <color rgb="FFFFEB84"/>
        <color rgb="FF63BE7B"/>
      </colorScale>
    </cfRule>
  </conditionalFormatting>
  <conditionalFormatting sqref="P18:P22">
    <cfRule type="colorScale" priority="4">
      <colorScale>
        <cfvo type="min"/>
        <cfvo type="percentile" val="50"/>
        <cfvo type="max"/>
        <color rgb="FF63BE7B"/>
        <color rgb="FFFFEB84"/>
        <color rgb="FFF8696B"/>
      </colorScale>
    </cfRule>
  </conditionalFormatting>
  <printOptions/>
  <pageMargins bottom="0.787401575" footer="0.0" header="0.0" left="0.511811024" right="0.511811024" top="0.7874015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6.38"/>
    <col customWidth="1" min="2" max="2" width="10.63"/>
    <col customWidth="1" min="3" max="3" width="10.25"/>
    <col customWidth="1" min="4" max="4" width="9.75"/>
    <col customWidth="1" min="5" max="5" width="9.88"/>
    <col customWidth="1" min="6" max="26" width="8.63"/>
  </cols>
  <sheetData>
    <row r="1" ht="12.75" customHeight="1"/>
    <row r="2" ht="12.75" customHeight="1"/>
    <row r="3" ht="12.75" customHeight="1"/>
    <row r="4" ht="12.75" customHeight="1"/>
    <row r="5" ht="12.75" customHeight="1"/>
    <row r="6" ht="12.75" customHeight="1"/>
    <row r="7" ht="12.75" customHeight="1"/>
    <row r="8" ht="12.75" customHeight="1">
      <c r="A8" s="67" t="s">
        <v>39</v>
      </c>
      <c r="B8" s="67" t="s">
        <v>40</v>
      </c>
      <c r="C8" s="67" t="s">
        <v>41</v>
      </c>
      <c r="D8" s="67" t="s">
        <v>42</v>
      </c>
      <c r="E8" s="67" t="s">
        <v>43</v>
      </c>
    </row>
    <row r="9" ht="12.75" customHeight="1">
      <c r="A9" s="68" t="s">
        <v>44</v>
      </c>
      <c r="B9" s="68">
        <v>1.0</v>
      </c>
      <c r="C9" s="68">
        <v>1.0</v>
      </c>
      <c r="D9" s="68">
        <v>2.0</v>
      </c>
      <c r="E9" s="69">
        <f t="shared" ref="E9:E12" si="1">B9*C9*D9</f>
        <v>2</v>
      </c>
    </row>
    <row r="10" ht="12.75" customHeight="1">
      <c r="A10" s="68" t="s">
        <v>45</v>
      </c>
      <c r="B10" s="69"/>
      <c r="C10" s="69"/>
      <c r="D10" s="69"/>
      <c r="E10" s="69">
        <f t="shared" si="1"/>
        <v>0</v>
      </c>
    </row>
    <row r="11" ht="12.75" customHeight="1">
      <c r="A11" s="68" t="s">
        <v>46</v>
      </c>
      <c r="B11" s="69"/>
      <c r="C11" s="69"/>
      <c r="D11" s="69"/>
      <c r="E11" s="69">
        <f t="shared" si="1"/>
        <v>0</v>
      </c>
    </row>
    <row r="12" ht="12.75" customHeight="1">
      <c r="A12" s="69"/>
      <c r="B12" s="69"/>
      <c r="C12" s="69"/>
      <c r="D12" s="69"/>
      <c r="E12" s="69">
        <f t="shared" si="1"/>
        <v>0</v>
      </c>
    </row>
    <row r="13" ht="12.75" customHeight="1">
      <c r="A13" s="70"/>
      <c r="B13" s="70"/>
      <c r="C13" s="70"/>
      <c r="D13" s="70"/>
      <c r="E13" s="70"/>
    </row>
    <row r="14" ht="12.75" customHeight="1"/>
    <row r="15" ht="12.75" customHeight="1"/>
    <row r="16" ht="12.75" customHeight="1">
      <c r="A16" s="71" t="s">
        <v>47</v>
      </c>
    </row>
    <row r="17" ht="12.75" customHeight="1">
      <c r="A17" s="71" t="s">
        <v>48</v>
      </c>
    </row>
    <row r="18" ht="12.75" customHeight="1">
      <c r="A18" s="71" t="s">
        <v>49</v>
      </c>
    </row>
    <row r="19" ht="12.75" customHeight="1"/>
    <row r="20" ht="12.75" customHeight="1"/>
    <row r="21" ht="12.75" customHeight="1">
      <c r="A21" s="72" t="s">
        <v>50</v>
      </c>
    </row>
    <row r="22" ht="12.75" customHeight="1"/>
    <row r="23" ht="12.75" customHeight="1">
      <c r="A23" s="71" t="s">
        <v>51</v>
      </c>
    </row>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87401575" footer="0.0" header="0.0" left="0.511811024" right="0.511811024" top="0.7874015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2023-10-09T14:29:35Z</dcterms:created>
  <dc:creator>Marcelo</dc:creator>
</cp:coreProperties>
</file>